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egep\420-W41-SF Services Web\Travaux\TP2\"/>
    </mc:Choice>
  </mc:AlternateContent>
  <xr:revisionPtr revIDLastSave="0" documentId="13_ncr:1_{43A15A5D-F2CC-4A52-B3FA-A23CFE2DCF9C}" xr6:coauthVersionLast="47" xr6:coauthVersionMax="47" xr10:uidLastSave="{00000000-0000-0000-0000-000000000000}"/>
  <bookViews>
    <workbookView xWindow="-120" yWindow="-120" windowWidth="29040" windowHeight="15840" tabRatio="913" firstSheet="1" activeTab="2" xr2:uid="{00000000-000D-0000-FFFF-FFFF00000000}"/>
  </bookViews>
  <sheets>
    <sheet name="Barême" sheetId="10" r:id="rId1"/>
    <sheet name="Sommaire" sheetId="4" r:id="rId2"/>
    <sheet name="Modèle" sheetId="7" r:id="rId3"/>
  </sheets>
  <definedNames>
    <definedName name="__CIC1">Modèle!#REF!</definedName>
    <definedName name="__SP1">Modèle!#REF!</definedName>
    <definedName name="__VCN1">Modèle!#REF!</definedName>
    <definedName name="__VCN2">Modèle!#REF!</definedName>
    <definedName name="_CC">Modèle!#REF!</definedName>
    <definedName name="_CIC">Modèle!#REF!</definedName>
    <definedName name="_CIC1">Modèle!#REF!</definedName>
    <definedName name="_CIC2">Modèle!#REF!</definedName>
    <definedName name="_DUP">Modèle!#REF!</definedName>
    <definedName name="_FCN">Modèle!#REF!</definedName>
    <definedName name="_MC1">Modèle!#REF!</definedName>
    <definedName name="_MC2">Modèle!#REF!</definedName>
    <definedName name="_MC3">Modèle!#REF!</definedName>
    <definedName name="_SP">Modèle!#REF!</definedName>
    <definedName name="_SP1">Modèle!#REF!</definedName>
    <definedName name="_SP2">Modèle!#REF!</definedName>
    <definedName name="_SP3">Modèle!#REF!</definedName>
    <definedName name="_TDA">Modèle!#REF!</definedName>
    <definedName name="_VCN">Modèle!#REF!</definedName>
    <definedName name="_VCN1">Modèle!#REF!</definedName>
    <definedName name="_VCN2">Modèle!#REF!</definedName>
    <definedName name="FCT">Modèle!#REF!</definedName>
    <definedName name="Print_Area" localSheetId="2">Modèle!$A$1:$O$52</definedName>
    <definedName name="total" localSheetId="0">Barême!$A$1</definedName>
    <definedName name="total">Modèle!$O$52</definedName>
    <definedName name="_xlnm.Print_Area" localSheetId="2">Modèle!$A$1:$O$52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4" i="7" l="1"/>
  <c r="O34" i="7" s="1"/>
  <c r="A25" i="7"/>
  <c r="M33" i="7"/>
  <c r="O33" i="7" s="1"/>
  <c r="A17" i="7"/>
  <c r="A8" i="7"/>
  <c r="M20" i="7"/>
  <c r="O20" i="7" s="1"/>
  <c r="M10" i="7"/>
  <c r="O10" i="7" s="1"/>
  <c r="M11" i="7"/>
  <c r="O11" i="7" s="1"/>
  <c r="M12" i="7"/>
  <c r="O12" i="7" s="1"/>
  <c r="M9" i="7"/>
  <c r="O9" i="7" s="1"/>
  <c r="A32" i="7"/>
  <c r="M27" i="7"/>
  <c r="O27" i="7" s="1"/>
  <c r="M26" i="7"/>
  <c r="O26" i="7" s="1"/>
  <c r="B32" i="4"/>
  <c r="M19" i="7" l="1"/>
  <c r="O19" i="7" s="1"/>
  <c r="M18" i="7"/>
  <c r="O18" i="7" s="1"/>
  <c r="P11" i="7"/>
  <c r="O41" i="7" l="1"/>
  <c r="O50" i="7" s="1"/>
  <c r="M46" i="7"/>
  <c r="O46" i="7" s="1"/>
  <c r="A44" i="7"/>
  <c r="M47" i="7"/>
  <c r="O47" i="7" s="1"/>
  <c r="B31" i="4" l="1"/>
  <c r="O51" i="7" l="1"/>
  <c r="O52" i="7" s="1"/>
</calcChain>
</file>

<file path=xl/sharedStrings.xml><?xml version="1.0" encoding="utf-8"?>
<sst xmlns="http://schemas.openxmlformats.org/spreadsheetml/2006/main" count="87" uniqueCount="62">
  <si>
    <t>Grille d'évaluation</t>
  </si>
  <si>
    <t>Notes partielles</t>
  </si>
  <si>
    <t>Pondérations</t>
  </si>
  <si>
    <t>Notes pondérée</t>
  </si>
  <si>
    <t>Commentaires généraux</t>
  </si>
  <si>
    <t>Pénalité si retard:</t>
  </si>
  <si>
    <t>Qualité du français</t>
  </si>
  <si>
    <t>Nb fautes:</t>
  </si>
  <si>
    <t>Total:</t>
  </si>
  <si>
    <t>TDA</t>
  </si>
  <si>
    <t>Moyenne</t>
  </si>
  <si>
    <t>Ecart-type</t>
  </si>
  <si>
    <t>Non</t>
  </si>
  <si>
    <t>VCN</t>
  </si>
  <si>
    <t>FCN</t>
  </si>
  <si>
    <t>CIC</t>
  </si>
  <si>
    <t>SP</t>
  </si>
  <si>
    <t>FCT</t>
  </si>
  <si>
    <t>Pondération de chaque erreur en fonction du type</t>
  </si>
  <si>
    <t>D'autres fichiers autre que ceux demandés  ont été remis dans l'archive</t>
  </si>
  <si>
    <t>TAB</t>
  </si>
  <si>
    <t>Oui</t>
  </si>
  <si>
    <t>Pénalités</t>
  </si>
  <si>
    <t>Notes pondérées</t>
  </si>
  <si>
    <t>Les fichiers html ont été bien nommés (index.html, galerie-images.html, commentaires.html et connexion.html.</t>
  </si>
  <si>
    <t>Le répertoire css contient le fichier de styles</t>
  </si>
  <si>
    <t>Le répertoires img contient toutes les images du site dans le bon format (maximum 500 ko et dans la bonne dimension)</t>
  </si>
  <si>
    <t>- Nom et prénom: vides au départ et obligatoires</t>
  </si>
  <si>
    <t>- Courriel:  format validé et obligatoire</t>
  </si>
  <si>
    <t>- Téléphone: avec un texte indicatif (###-###-####)</t>
  </si>
  <si>
    <t>- Province: liste déroulante, au moins 6 provinces en ordre alphabétique. Québec par défaut</t>
  </si>
  <si>
    <t xml:space="preserve">- Date de naissance: date seulement </t>
  </si>
  <si>
    <t>- Zone de commentaires permettant de voir 7 lignes de texte)</t>
  </si>
  <si>
    <t>- Note pour le site: zone de boutons radio avec 4 valeurs possibles</t>
  </si>
  <si>
    <t>- Bouton soumettre: avec le texte "Envoyer les commentaires", soumission par courriel à votre adresse</t>
  </si>
  <si>
    <t>Pages:</t>
  </si>
  <si>
    <t>La langue est fr</t>
  </si>
  <si>
    <t>Chaque page est bien nommée: Sujet - Accueil, Sujet - Galerie d'images, etc</t>
  </si>
  <si>
    <t>Les balises structurantes sont utilisées.</t>
  </si>
  <si>
    <t>Des sections sont utilisées dans la page d'accueil</t>
  </si>
  <si>
    <t>Les styles sont dans un fichier css. En outre, les styles superflus, inutiles, etc ont été retirés</t>
  </si>
  <si>
    <t>CR</t>
  </si>
  <si>
    <t>Le projet remis n'est pas fonctionnel</t>
  </si>
  <si>
    <t>- Goûts: zone de cases à cocher avec aucun choix par défaut</t>
  </si>
  <si>
    <t>Total</t>
  </si>
  <si>
    <t>Commentaires</t>
  </si>
  <si>
    <t>Balleux_2396700</t>
  </si>
  <si>
    <t>Nb jours:</t>
  </si>
  <si>
    <t>TP2 - Partie 1</t>
  </si>
  <si>
    <t>Pondération: 30% du TP2</t>
  </si>
  <si>
    <t>420-W41-SF Services Web</t>
  </si>
  <si>
    <t>Normes</t>
  </si>
  <si>
    <t>Routes (3)</t>
  </si>
  <si>
    <t>Utilisation correcte de Middleware</t>
  </si>
  <si>
    <t>Throttling</t>
  </si>
  <si>
    <t>Register</t>
  </si>
  <si>
    <t>Register -&gt; user already exists</t>
  </si>
  <si>
    <t>Logout</t>
  </si>
  <si>
    <t>Login</t>
  </si>
  <si>
    <t>Login -&gt; createToken, avec login et non email</t>
  </si>
  <si>
    <t>Swagger - Paramètres, Authentification, Codes de statut</t>
  </si>
  <si>
    <t>Tests - 200, 201, 204, 401, 403, 405, 422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</si>
</sst>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2">
    <xf numFmtId="0" fontId="0" fillId="0" borderId="0" xfId="0"/>
    <xf numFmtId="9" fontId="0" fillId="0" borderId="0" xfId="0" applyNumberFormat="1"/>
    <xf numFmtId="164" fontId="0" fillId="0" borderId="0" xfId="1" applyNumberFormat="1" applyFont="1"/>
    <xf numFmtId="9" fontId="0" fillId="0" borderId="0" xfId="0" applyNumberFormat="1" applyAlignment="1">
      <alignment horizontal="center"/>
    </xf>
    <xf numFmtId="9" fontId="0" fillId="0" borderId="0" xfId="0" applyNumberFormat="1" applyAlignment="1">
      <alignment horizontal="left" vertical="top"/>
    </xf>
    <xf numFmtId="0" fontId="0" fillId="0" borderId="4" xfId="0" applyBorder="1" applyAlignment="1" applyProtection="1">
      <alignment horizontal="justify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0" borderId="6" xfId="0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2" borderId="10" xfId="0" applyFill="1" applyBorder="1" applyAlignment="1" applyProtection="1">
      <alignment wrapText="1"/>
      <protection locked="0"/>
    </xf>
    <xf numFmtId="0" fontId="0" fillId="2" borderId="11" xfId="0" applyFill="1" applyBorder="1" applyAlignment="1" applyProtection="1">
      <alignment horizontal="center" vertical="center" wrapText="1"/>
      <protection locked="0"/>
    </xf>
    <xf numFmtId="0" fontId="3" fillId="2" borderId="9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1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Protection="1">
      <protection locked="0"/>
    </xf>
    <xf numFmtId="0" fontId="6" fillId="0" borderId="0" xfId="0" applyFont="1" applyProtection="1">
      <protection locked="0"/>
    </xf>
    <xf numFmtId="9" fontId="0" fillId="0" borderId="14" xfId="1" applyFon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9" fontId="0" fillId="0" borderId="5" xfId="1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right" vertical="center" wrapText="1"/>
      <protection locked="0"/>
    </xf>
    <xf numFmtId="0" fontId="0" fillId="0" borderId="2" xfId="0" applyBorder="1" applyAlignment="1" applyProtection="1">
      <alignment horizontal="right" vertical="top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right" vertical="center" wrapText="1"/>
      <protection locked="0"/>
    </xf>
    <xf numFmtId="9" fontId="0" fillId="0" borderId="3" xfId="1" applyFon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right" vertical="center" wrapText="1"/>
      <protection locked="0"/>
    </xf>
    <xf numFmtId="0" fontId="0" fillId="0" borderId="0" xfId="0" applyAlignment="1" applyProtection="1">
      <alignment horizontal="right" vertical="top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right" vertical="center" wrapText="1"/>
      <protection locked="0"/>
    </xf>
    <xf numFmtId="164" fontId="0" fillId="0" borderId="5" xfId="1" applyNumberFormat="1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right"/>
      <protection locked="0"/>
    </xf>
    <xf numFmtId="0" fontId="0" fillId="0" borderId="7" xfId="0" applyBorder="1" applyAlignment="1" applyProtection="1">
      <alignment horizontal="right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wrapText="1"/>
      <protection locked="0"/>
    </xf>
    <xf numFmtId="0" fontId="0" fillId="0" borderId="7" xfId="0" applyBorder="1" applyAlignment="1" applyProtection="1">
      <alignment horizontal="right" vertical="center" wrapText="1"/>
      <protection locked="0"/>
    </xf>
    <xf numFmtId="9" fontId="3" fillId="0" borderId="8" xfId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9" fontId="0" fillId="0" borderId="0" xfId="0" applyNumberFormat="1" applyAlignment="1" applyProtection="1">
      <alignment horizontal="left" vertical="top"/>
      <protection locked="0"/>
    </xf>
    <xf numFmtId="9" fontId="0" fillId="0" borderId="0" xfId="0" applyNumberFormat="1" applyProtection="1">
      <protection locked="0"/>
    </xf>
    <xf numFmtId="9" fontId="0" fillId="0" borderId="0" xfId="0" applyNumberFormat="1" applyAlignment="1" applyProtection="1">
      <alignment horizontal="center"/>
      <protection locked="0"/>
    </xf>
    <xf numFmtId="9" fontId="0" fillId="0" borderId="13" xfId="0" applyNumberFormat="1" applyBorder="1" applyAlignment="1" applyProtection="1">
      <alignment horizontal="center" vertical="center" wrapText="1"/>
      <protection locked="0"/>
    </xf>
    <xf numFmtId="164" fontId="0" fillId="0" borderId="13" xfId="0" applyNumberFormat="1" applyBorder="1" applyAlignment="1" applyProtection="1">
      <alignment horizontal="center" vertical="center" wrapText="1"/>
      <protection locked="0"/>
    </xf>
    <xf numFmtId="0" fontId="3" fillId="0" borderId="4" xfId="0" applyFont="1" applyBorder="1" applyProtection="1"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9" fontId="0" fillId="0" borderId="12" xfId="0" applyNumberFormat="1" applyBorder="1" applyAlignment="1" applyProtection="1">
      <alignment horizontal="center" vertical="center" wrapText="1"/>
      <protection locked="0"/>
    </xf>
    <xf numFmtId="164" fontId="0" fillId="0" borderId="14" xfId="1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wrapText="1"/>
      <protection locked="0"/>
    </xf>
    <xf numFmtId="0" fontId="7" fillId="0" borderId="0" xfId="0" applyFont="1" applyAlignment="1" applyProtection="1">
      <alignment vertical="top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6" xfId="0" applyBorder="1" applyAlignment="1" applyProtection="1">
      <alignment horizontal="justify" vertical="center" wrapText="1"/>
      <protection locked="0"/>
    </xf>
    <xf numFmtId="0" fontId="6" fillId="0" borderId="7" xfId="0" applyFont="1" applyBorder="1" applyAlignment="1" applyProtection="1">
      <alignment vertical="center"/>
      <protection locked="0"/>
    </xf>
    <xf numFmtId="0" fontId="3" fillId="0" borderId="7" xfId="0" applyFont="1" applyBorder="1" applyAlignment="1" applyProtection="1">
      <alignment horizontal="right" vertical="center"/>
      <protection locked="0"/>
    </xf>
    <xf numFmtId="0" fontId="3" fillId="0" borderId="15" xfId="0" applyFont="1" applyBorder="1" applyAlignment="1" applyProtection="1">
      <alignment horizontal="center" vertical="center" wrapText="1"/>
      <protection locked="0"/>
    </xf>
    <xf numFmtId="164" fontId="3" fillId="2" borderId="17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64" fontId="0" fillId="0" borderId="4" xfId="0" applyNumberFormat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7" xfId="0" applyBorder="1" applyAlignment="1" applyProtection="1">
      <alignment horizontal="left" wrapText="1"/>
      <protection locked="0"/>
    </xf>
    <xf numFmtId="9" fontId="0" fillId="0" borderId="2" xfId="1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justify" vertical="center" wrapText="1"/>
      <protection locked="0"/>
    </xf>
    <xf numFmtId="0" fontId="0" fillId="2" borderId="10" xfId="0" applyFill="1" applyBorder="1" applyAlignment="1" applyProtection="1">
      <alignment horizontal="center" vertical="center" wrapText="1"/>
      <protection locked="0"/>
    </xf>
    <xf numFmtId="9" fontId="0" fillId="0" borderId="0" xfId="0" applyNumberFormat="1" applyAlignment="1" applyProtection="1">
      <alignment horizontal="center" vertical="center" wrapText="1"/>
      <protection locked="0"/>
    </xf>
    <xf numFmtId="9" fontId="0" fillId="0" borderId="0" xfId="0" applyNumberFormat="1" applyAlignment="1" applyProtection="1">
      <alignment vertical="center"/>
      <protection locked="0"/>
    </xf>
    <xf numFmtId="0" fontId="3" fillId="0" borderId="16" xfId="0" applyFont="1" applyBorder="1" applyAlignment="1" applyProtection="1">
      <alignment horizontal="right" vertical="center" wrapText="1"/>
      <protection locked="0"/>
    </xf>
    <xf numFmtId="0" fontId="5" fillId="0" borderId="0" xfId="0" applyFont="1" applyProtection="1"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3" fillId="0" borderId="1" xfId="0" applyFont="1" applyBorder="1" applyProtection="1">
      <protection locked="0"/>
    </xf>
    <xf numFmtId="0" fontId="0" fillId="0" borderId="2" xfId="0" applyBorder="1" applyAlignment="1" applyProtection="1">
      <alignment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9" fontId="0" fillId="0" borderId="4" xfId="0" applyNumberForma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right" vertical="center"/>
      <protection locked="0"/>
    </xf>
    <xf numFmtId="0" fontId="0" fillId="2" borderId="9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right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quotePrefix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9" fontId="3" fillId="0" borderId="0" xfId="1" applyFont="1" applyBorder="1" applyAlignment="1">
      <alignment horizontal="left" vertical="top" wrapText="1"/>
    </xf>
    <xf numFmtId="0" fontId="5" fillId="0" borderId="0" xfId="0" applyFont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5" xfId="0" applyFont="1" applyBorder="1" applyAlignment="1" applyProtection="1">
      <alignment horizontal="center"/>
      <protection locked="0"/>
    </xf>
    <xf numFmtId="0" fontId="4" fillId="0" borderId="6" xfId="0" applyFont="1" applyBorder="1" applyAlignment="1" applyProtection="1">
      <alignment horizontal="center"/>
      <protection locked="0"/>
    </xf>
    <xf numFmtId="0" fontId="4" fillId="0" borderId="7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left" wrapText="1"/>
      <protection locked="0"/>
    </xf>
    <xf numFmtId="0" fontId="0" fillId="0" borderId="7" xfId="0" applyBorder="1" applyAlignment="1" applyProtection="1">
      <alignment horizontal="right"/>
      <protection locked="0"/>
    </xf>
    <xf numFmtId="0" fontId="0" fillId="0" borderId="2" xfId="0" applyBorder="1" applyAlignment="1" applyProtection="1">
      <alignment horizontal="right" vertical="top" wrapText="1"/>
      <protection locked="0"/>
    </xf>
    <xf numFmtId="0" fontId="0" fillId="0" borderId="0" xfId="0" applyAlignment="1" applyProtection="1">
      <alignment horizontal="right" vertical="top" wrapText="1"/>
      <protection locked="0"/>
    </xf>
    <xf numFmtId="0" fontId="3" fillId="2" borderId="9" xfId="0" applyFont="1" applyFill="1" applyBorder="1" applyAlignment="1" applyProtection="1">
      <alignment vertical="center"/>
      <protection locked="0"/>
    </xf>
    <xf numFmtId="0" fontId="3" fillId="2" borderId="10" xfId="0" applyFont="1" applyFill="1" applyBorder="1" applyAlignment="1" applyProtection="1">
      <alignment vertical="center"/>
      <protection locked="0"/>
    </xf>
    <xf numFmtId="0" fontId="6" fillId="3" borderId="7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6" fillId="3" borderId="0" xfId="0" applyFont="1" applyFill="1" applyAlignment="1" applyProtection="1">
      <alignment horizontal="left" vertical="top"/>
      <protection locked="0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2</xdr:row>
          <xdr:rowOff>171450</xdr:rowOff>
        </xdr:from>
        <xdr:to>
          <xdr:col>6</xdr:col>
          <xdr:colOff>38100</xdr:colOff>
          <xdr:row>5</xdr:row>
          <xdr:rowOff>76200</xdr:rowOff>
        </xdr:to>
        <xdr:sp macro="" textlink="">
          <xdr:nvSpPr>
            <xdr:cNvPr id="1025" name="Button 1" descr="Générer le sommaire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sommaire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toutes les grilles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P49"/>
  <sheetViews>
    <sheetView workbookViewId="0">
      <selection activeCell="L26" sqref="L26"/>
    </sheetView>
  </sheetViews>
  <sheetFormatPr baseColWidth="10" defaultRowHeight="15" x14ac:dyDescent="0.25"/>
  <sheetData>
    <row r="1" spans="1:16" x14ac:dyDescent="0.25">
      <c r="A1" s="91" t="s">
        <v>18</v>
      </c>
      <c r="B1" s="91"/>
      <c r="C1" s="91"/>
      <c r="D1" s="91"/>
      <c r="E1" s="91"/>
      <c r="F1" s="91"/>
      <c r="G1" s="91"/>
    </row>
    <row r="2" spans="1:16" x14ac:dyDescent="0.25">
      <c r="A2" t="s">
        <v>9</v>
      </c>
      <c r="B2" s="1">
        <v>0.05</v>
      </c>
    </row>
    <row r="3" spans="1:16" x14ac:dyDescent="0.25">
      <c r="A3" t="s">
        <v>13</v>
      </c>
      <c r="B3" s="1">
        <v>0.05</v>
      </c>
      <c r="J3" s="4"/>
      <c r="P3" s="1"/>
    </row>
    <row r="4" spans="1:16" x14ac:dyDescent="0.25">
      <c r="A4" t="s">
        <v>14</v>
      </c>
      <c r="B4" s="1">
        <v>0.05</v>
      </c>
      <c r="J4" s="4"/>
      <c r="P4" s="1"/>
    </row>
    <row r="5" spans="1:16" x14ac:dyDescent="0.25">
      <c r="A5" t="s">
        <v>15</v>
      </c>
      <c r="B5" s="1">
        <v>0.05</v>
      </c>
      <c r="J5" s="4"/>
      <c r="L5" s="3"/>
      <c r="P5" s="1"/>
    </row>
    <row r="6" spans="1:16" x14ac:dyDescent="0.25">
      <c r="A6" t="s">
        <v>16</v>
      </c>
      <c r="B6" s="1">
        <v>0.05</v>
      </c>
      <c r="J6" s="4"/>
      <c r="P6" s="1"/>
    </row>
    <row r="7" spans="1:16" x14ac:dyDescent="0.25">
      <c r="A7" t="s">
        <v>17</v>
      </c>
      <c r="B7" s="1">
        <v>0.05</v>
      </c>
      <c r="J7" s="4"/>
      <c r="P7" s="1"/>
    </row>
    <row r="8" spans="1:16" x14ac:dyDescent="0.25">
      <c r="A8" t="s">
        <v>20</v>
      </c>
      <c r="B8" s="1">
        <v>0.05</v>
      </c>
      <c r="J8" s="4"/>
    </row>
    <row r="9" spans="1:16" x14ac:dyDescent="0.25">
      <c r="B9" s="1"/>
      <c r="G9" s="1"/>
      <c r="J9" s="4"/>
      <c r="P9" s="1"/>
    </row>
    <row r="10" spans="1:16" x14ac:dyDescent="0.25">
      <c r="B10" s="1"/>
      <c r="G10" s="1"/>
      <c r="J10" s="4"/>
      <c r="P10" s="1"/>
    </row>
    <row r="11" spans="1:16" x14ac:dyDescent="0.25">
      <c r="B11" s="1"/>
      <c r="G11" s="1"/>
      <c r="J11" s="4"/>
      <c r="P11" s="1"/>
    </row>
    <row r="12" spans="1:16" x14ac:dyDescent="0.25">
      <c r="B12" s="1"/>
      <c r="G12" s="1"/>
      <c r="J12" s="4"/>
    </row>
    <row r="13" spans="1:16" x14ac:dyDescent="0.25">
      <c r="A13" t="s">
        <v>22</v>
      </c>
      <c r="B13" s="1"/>
      <c r="G13" s="1"/>
      <c r="J13" s="4"/>
      <c r="P13" s="1"/>
    </row>
    <row r="14" spans="1:16" x14ac:dyDescent="0.25">
      <c r="A14" t="s">
        <v>21</v>
      </c>
      <c r="B14" s="1"/>
      <c r="J14" s="4"/>
      <c r="P14" s="1"/>
    </row>
    <row r="15" spans="1:16" x14ac:dyDescent="0.25">
      <c r="A15" t="s">
        <v>12</v>
      </c>
      <c r="B15" s="1"/>
      <c r="J15" s="4"/>
    </row>
    <row r="16" spans="1:16" x14ac:dyDescent="0.25">
      <c r="B16" s="1"/>
      <c r="J16" s="4"/>
      <c r="P16" s="1"/>
    </row>
    <row r="17" spans="1:16" x14ac:dyDescent="0.25">
      <c r="A17" t="s">
        <v>41</v>
      </c>
      <c r="B17" s="1">
        <v>-1.4999999999999999E-2</v>
      </c>
      <c r="J17" s="4"/>
      <c r="P17" s="1"/>
    </row>
    <row r="18" spans="1:16" x14ac:dyDescent="0.25">
      <c r="B18" s="1"/>
      <c r="J18" s="4"/>
      <c r="P18" s="1"/>
    </row>
    <row r="19" spans="1:16" x14ac:dyDescent="0.25">
      <c r="B19" s="1"/>
      <c r="J19" s="4"/>
    </row>
    <row r="20" spans="1:16" x14ac:dyDescent="0.25">
      <c r="B20" s="1"/>
      <c r="J20" s="4"/>
      <c r="P20" s="1"/>
    </row>
    <row r="21" spans="1:16" x14ac:dyDescent="0.25">
      <c r="J21" s="4"/>
      <c r="P21" s="1"/>
    </row>
    <row r="22" spans="1:16" x14ac:dyDescent="0.25">
      <c r="L22" s="3"/>
    </row>
    <row r="23" spans="1:16" x14ac:dyDescent="0.25">
      <c r="L23" s="3"/>
    </row>
    <row r="26" spans="1:16" x14ac:dyDescent="0.25">
      <c r="A26" s="90" t="s">
        <v>24</v>
      </c>
      <c r="B26" s="90"/>
      <c r="C26" s="90"/>
      <c r="D26" s="90"/>
      <c r="E26" s="90"/>
      <c r="F26" s="90"/>
      <c r="G26" s="90"/>
      <c r="H26" s="90"/>
      <c r="I26" s="90"/>
      <c r="J26" s="8"/>
      <c r="K26" s="30" t="s">
        <v>21</v>
      </c>
      <c r="L26" s="69">
        <v>0.25</v>
      </c>
    </row>
    <row r="27" spans="1:16" x14ac:dyDescent="0.25">
      <c r="A27" s="90" t="s">
        <v>25</v>
      </c>
      <c r="B27" s="90"/>
      <c r="C27" s="90"/>
      <c r="D27" s="90"/>
      <c r="E27" s="90"/>
      <c r="F27" s="90"/>
      <c r="G27" s="90"/>
      <c r="H27" s="90"/>
      <c r="I27" s="90"/>
      <c r="J27" s="8"/>
      <c r="K27" s="30" t="s">
        <v>21</v>
      </c>
      <c r="L27" s="69">
        <v>0.25</v>
      </c>
    </row>
    <row r="28" spans="1:16" x14ac:dyDescent="0.25">
      <c r="A28" s="90" t="s">
        <v>26</v>
      </c>
      <c r="B28" s="90"/>
      <c r="C28" s="90"/>
      <c r="D28" s="90"/>
      <c r="E28" s="90"/>
      <c r="F28" s="90"/>
      <c r="G28" s="90"/>
      <c r="H28" s="90"/>
      <c r="I28" s="90"/>
      <c r="J28" s="8"/>
      <c r="K28" s="30" t="s">
        <v>21</v>
      </c>
      <c r="L28" s="69">
        <v>0.5</v>
      </c>
    </row>
    <row r="29" spans="1:16" x14ac:dyDescent="0.25">
      <c r="A29" s="53"/>
      <c r="B29" s="53"/>
      <c r="C29" s="53"/>
      <c r="D29" s="53"/>
      <c r="E29" s="53"/>
      <c r="F29" s="53"/>
      <c r="G29" s="53"/>
      <c r="H29" s="53"/>
      <c r="I29" s="53"/>
      <c r="J29" s="8"/>
      <c r="K29" s="30"/>
      <c r="L29" s="8"/>
    </row>
    <row r="30" spans="1:16" x14ac:dyDescent="0.25">
      <c r="A30" s="92" t="s">
        <v>35</v>
      </c>
      <c r="B30" s="92"/>
      <c r="C30" s="92"/>
      <c r="D30" s="92"/>
      <c r="E30" s="92"/>
      <c r="F30" s="92"/>
      <c r="G30" s="92"/>
      <c r="H30" s="92"/>
      <c r="I30" s="92"/>
      <c r="J30" s="8"/>
      <c r="K30" s="30"/>
      <c r="L30" s="8"/>
    </row>
    <row r="31" spans="1:16" x14ac:dyDescent="0.25">
      <c r="A31" s="90" t="s">
        <v>36</v>
      </c>
      <c r="B31" s="90"/>
      <c r="C31" s="90"/>
      <c r="D31" s="90"/>
      <c r="E31" s="90"/>
      <c r="F31" s="90"/>
      <c r="G31" s="90"/>
      <c r="H31" s="90"/>
      <c r="I31" s="90"/>
      <c r="J31" s="8"/>
      <c r="K31" s="30" t="s">
        <v>21</v>
      </c>
      <c r="L31" s="69">
        <v>0.1</v>
      </c>
    </row>
    <row r="32" spans="1:16" x14ac:dyDescent="0.25">
      <c r="A32" s="90" t="s">
        <v>37</v>
      </c>
      <c r="B32" s="90"/>
      <c r="C32" s="90"/>
      <c r="D32" s="90"/>
      <c r="E32" s="90"/>
      <c r="F32" s="90"/>
      <c r="G32" s="90"/>
      <c r="H32" s="90"/>
      <c r="I32" s="90"/>
      <c r="J32" s="8"/>
      <c r="K32" s="30" t="s">
        <v>21</v>
      </c>
      <c r="L32" s="69">
        <v>0.1</v>
      </c>
    </row>
    <row r="33" spans="1:12" x14ac:dyDescent="0.25">
      <c r="A33" s="90" t="s">
        <v>38</v>
      </c>
      <c r="B33" s="90"/>
      <c r="C33" s="90"/>
      <c r="D33" s="90"/>
      <c r="E33" s="90"/>
      <c r="F33" s="90"/>
      <c r="G33" s="90"/>
      <c r="H33" s="90"/>
      <c r="I33" s="90"/>
      <c r="J33" s="8"/>
      <c r="K33" s="30" t="s">
        <v>21</v>
      </c>
      <c r="L33" s="69">
        <v>0.3</v>
      </c>
    </row>
    <row r="34" spans="1:12" x14ac:dyDescent="0.25">
      <c r="A34" s="90" t="s">
        <v>39</v>
      </c>
      <c r="B34" s="90"/>
      <c r="C34" s="90"/>
      <c r="D34" s="90"/>
      <c r="E34" s="90"/>
      <c r="F34" s="90"/>
      <c r="G34" s="90"/>
      <c r="H34" s="90"/>
      <c r="I34" s="90"/>
      <c r="J34" s="8"/>
      <c r="K34" s="30" t="s">
        <v>21</v>
      </c>
      <c r="L34" s="69">
        <v>0.2</v>
      </c>
    </row>
    <row r="35" spans="1:12" x14ac:dyDescent="0.25">
      <c r="A35" s="90" t="s">
        <v>40</v>
      </c>
      <c r="B35" s="90"/>
      <c r="C35" s="90"/>
      <c r="D35" s="90"/>
      <c r="E35" s="90"/>
      <c r="F35" s="90"/>
      <c r="G35" s="90"/>
      <c r="H35" s="90"/>
      <c r="I35" s="90"/>
      <c r="J35" s="8"/>
      <c r="K35" s="30" t="s">
        <v>21</v>
      </c>
      <c r="L35" s="69">
        <v>0.3</v>
      </c>
    </row>
    <row r="41" spans="1:12" x14ac:dyDescent="0.25">
      <c r="A41" s="89" t="s">
        <v>27</v>
      </c>
      <c r="B41" s="90"/>
      <c r="C41" s="90"/>
      <c r="D41" s="90"/>
      <c r="E41" s="90"/>
      <c r="F41" s="90"/>
      <c r="G41" s="90"/>
      <c r="H41" s="90"/>
      <c r="I41" s="90"/>
      <c r="J41" s="8"/>
      <c r="K41" s="30" t="s">
        <v>21</v>
      </c>
      <c r="L41" s="69">
        <v>0.15</v>
      </c>
    </row>
    <row r="42" spans="1:12" x14ac:dyDescent="0.25">
      <c r="A42" s="89" t="s">
        <v>28</v>
      </c>
      <c r="B42" s="90"/>
      <c r="C42" s="90"/>
      <c r="D42" s="90"/>
      <c r="E42" s="90"/>
      <c r="F42" s="90"/>
      <c r="G42" s="90"/>
      <c r="H42" s="90"/>
      <c r="I42" s="90"/>
      <c r="J42" s="8"/>
      <c r="K42" s="30" t="s">
        <v>21</v>
      </c>
      <c r="L42" s="69">
        <v>0.1</v>
      </c>
    </row>
    <row r="43" spans="1:12" x14ac:dyDescent="0.25">
      <c r="A43" s="89" t="s">
        <v>29</v>
      </c>
      <c r="B43" s="90"/>
      <c r="C43" s="90"/>
      <c r="D43" s="90"/>
      <c r="E43" s="90"/>
      <c r="F43" s="90"/>
      <c r="G43" s="90"/>
      <c r="H43" s="90"/>
      <c r="I43" s="90"/>
      <c r="J43" s="8"/>
      <c r="K43" s="30" t="s">
        <v>21</v>
      </c>
      <c r="L43" s="69">
        <v>0.1</v>
      </c>
    </row>
    <row r="44" spans="1:12" x14ac:dyDescent="0.25">
      <c r="A44" s="89" t="s">
        <v>30</v>
      </c>
      <c r="B44" s="90"/>
      <c r="C44" s="90"/>
      <c r="D44" s="90"/>
      <c r="E44" s="90"/>
      <c r="F44" s="90"/>
      <c r="G44" s="90"/>
      <c r="H44" s="90"/>
      <c r="I44" s="90"/>
      <c r="J44" s="8"/>
      <c r="K44" s="30" t="s">
        <v>21</v>
      </c>
      <c r="L44" s="69">
        <v>0.1</v>
      </c>
    </row>
    <row r="45" spans="1:12" x14ac:dyDescent="0.25">
      <c r="A45" s="89" t="s">
        <v>31</v>
      </c>
      <c r="B45" s="90"/>
      <c r="C45" s="90"/>
      <c r="D45" s="90"/>
      <c r="E45" s="90"/>
      <c r="F45" s="90"/>
      <c r="G45" s="90"/>
      <c r="H45" s="90"/>
      <c r="I45" s="90"/>
      <c r="J45" s="8"/>
      <c r="K45" s="30" t="s">
        <v>21</v>
      </c>
      <c r="L45" s="69">
        <v>0.1</v>
      </c>
    </row>
    <row r="46" spans="1:12" x14ac:dyDescent="0.25">
      <c r="A46" s="89" t="s">
        <v>32</v>
      </c>
      <c r="B46" s="90"/>
      <c r="C46" s="90"/>
      <c r="D46" s="90"/>
      <c r="E46" s="90"/>
      <c r="F46" s="90"/>
      <c r="G46" s="90"/>
      <c r="H46" s="90"/>
      <c r="I46" s="90"/>
      <c r="J46" s="8"/>
      <c r="K46" s="30" t="s">
        <v>21</v>
      </c>
      <c r="L46" s="69">
        <v>0.1</v>
      </c>
    </row>
    <row r="47" spans="1:12" x14ac:dyDescent="0.25">
      <c r="A47" s="89" t="s">
        <v>43</v>
      </c>
      <c r="B47" s="90"/>
      <c r="C47" s="90"/>
      <c r="D47" s="90"/>
      <c r="E47" s="90"/>
      <c r="F47" s="90"/>
      <c r="G47" s="90"/>
      <c r="H47" s="90"/>
      <c r="I47" s="90"/>
      <c r="J47" s="8"/>
      <c r="K47" s="30" t="s">
        <v>21</v>
      </c>
      <c r="L47" s="69">
        <v>0.1</v>
      </c>
    </row>
    <row r="48" spans="1:12" x14ac:dyDescent="0.25">
      <c r="A48" s="89" t="s">
        <v>33</v>
      </c>
      <c r="B48" s="90"/>
      <c r="C48" s="90"/>
      <c r="D48" s="90"/>
      <c r="E48" s="90"/>
      <c r="F48" s="90"/>
      <c r="G48" s="90"/>
      <c r="H48" s="90"/>
      <c r="I48" s="90"/>
      <c r="J48" s="8"/>
      <c r="K48" s="30" t="s">
        <v>21</v>
      </c>
      <c r="L48" s="69">
        <v>0.15</v>
      </c>
    </row>
    <row r="49" spans="1:12" x14ac:dyDescent="0.25">
      <c r="A49" s="89" t="s">
        <v>34</v>
      </c>
      <c r="B49" s="90"/>
      <c r="C49" s="90"/>
      <c r="D49" s="90"/>
      <c r="E49" s="90"/>
      <c r="F49" s="90"/>
      <c r="G49" s="90"/>
      <c r="H49" s="90"/>
      <c r="I49" s="90"/>
      <c r="J49" s="8"/>
      <c r="K49" s="30" t="s">
        <v>21</v>
      </c>
      <c r="L49" s="69">
        <v>0.1</v>
      </c>
    </row>
  </sheetData>
  <mergeCells count="19">
    <mergeCell ref="A1:G1"/>
    <mergeCell ref="A26:I26"/>
    <mergeCell ref="A27:I27"/>
    <mergeCell ref="A28:I28"/>
    <mergeCell ref="A30:I30"/>
    <mergeCell ref="A31:I31"/>
    <mergeCell ref="A32:I32"/>
    <mergeCell ref="A33:I33"/>
    <mergeCell ref="A34:I34"/>
    <mergeCell ref="A35:I35"/>
    <mergeCell ref="A46:I46"/>
    <mergeCell ref="A47:I47"/>
    <mergeCell ref="A48:I48"/>
    <mergeCell ref="A49:I49"/>
    <mergeCell ref="A41:I41"/>
    <mergeCell ref="A42:I42"/>
    <mergeCell ref="A43:I43"/>
    <mergeCell ref="A44:I44"/>
    <mergeCell ref="A45:I4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pageSetUpPr fitToPage="1"/>
  </sheetPr>
  <dimension ref="A4:B32"/>
  <sheetViews>
    <sheetView workbookViewId="0">
      <selection activeCell="B32" sqref="B32"/>
    </sheetView>
  </sheetViews>
  <sheetFormatPr baseColWidth="10" defaultRowHeight="15" x14ac:dyDescent="0.25"/>
  <cols>
    <col min="1" max="1" width="18.7109375" customWidth="1"/>
  </cols>
  <sheetData>
    <row r="4" spans="1:2" x14ac:dyDescent="0.25">
      <c r="A4" t="s">
        <v>46</v>
      </c>
      <c r="B4">
        <v>0.9900000000000001</v>
      </c>
    </row>
    <row r="25" spans="1:2" x14ac:dyDescent="0.25">
      <c r="B25" s="2"/>
    </row>
    <row r="26" spans="1:2" x14ac:dyDescent="0.25">
      <c r="B26" s="2"/>
    </row>
    <row r="31" spans="1:2" x14ac:dyDescent="0.25">
      <c r="A31" t="s">
        <v>10</v>
      </c>
      <c r="B31">
        <f>AVERAGE(B4:B30)</f>
        <v>0.9900000000000001</v>
      </c>
    </row>
    <row r="32" spans="1:2" x14ac:dyDescent="0.25">
      <c r="A32" t="s">
        <v>11</v>
      </c>
      <c r="B32" s="2" t="e">
        <f>STDEV(B4:B30)</f>
        <v>#DIV/0!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erMoyenne" altText="Générer le sommaire_x000a_">
                <anchor moveWithCells="1" sizeWithCells="1">
                  <from>
                    <xdr:col>2</xdr:col>
                    <xdr:colOff>752475</xdr:colOff>
                    <xdr:row>2</xdr:row>
                    <xdr:rowOff>171450</xdr:rowOff>
                  </from>
                  <to>
                    <xdr:col>6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erCorrection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R84"/>
  <sheetViews>
    <sheetView tabSelected="1" topLeftCell="A26" zoomScaleNormal="100" workbookViewId="0">
      <selection activeCell="N35" sqref="N35"/>
    </sheetView>
  </sheetViews>
  <sheetFormatPr baseColWidth="10" defaultColWidth="11.42578125" defaultRowHeight="15" x14ac:dyDescent="0.25"/>
  <cols>
    <col min="1" max="1" width="7.5703125" style="7" customWidth="1"/>
    <col min="2" max="2" width="5" style="7" customWidth="1"/>
    <col min="3" max="9" width="11.42578125" style="7"/>
    <col min="10" max="10" width="26.85546875" style="7" customWidth="1"/>
    <col min="11" max="11" width="14.7109375" style="39" customWidth="1"/>
    <col min="12" max="12" width="13.140625" style="39" customWidth="1"/>
    <col min="13" max="13" width="13.5703125" style="7" customWidth="1"/>
    <col min="14" max="14" width="17.28515625" style="7" customWidth="1"/>
    <col min="15" max="15" width="14.7109375" style="7" customWidth="1"/>
    <col min="16" max="17" width="0" style="7" hidden="1" customWidth="1"/>
    <col min="18" max="16384" width="11.42578125" style="7"/>
  </cols>
  <sheetData>
    <row r="1" spans="1:18" ht="21" x14ac:dyDescent="0.35">
      <c r="A1" s="94" t="s">
        <v>50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6"/>
    </row>
    <row r="2" spans="1:18" ht="21" x14ac:dyDescent="0.35">
      <c r="A2" s="97" t="s">
        <v>48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9"/>
    </row>
    <row r="3" spans="1:18" ht="21" x14ac:dyDescent="0.35">
      <c r="A3" s="97" t="s">
        <v>49</v>
      </c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9"/>
    </row>
    <row r="4" spans="1:18" ht="21.75" thickBot="1" x14ac:dyDescent="0.4">
      <c r="A4" s="100" t="s">
        <v>0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2"/>
    </row>
    <row r="5" spans="1:18" ht="15.75" thickBot="1" x14ac:dyDescent="0.3">
      <c r="M5" s="8"/>
      <c r="N5" s="8"/>
      <c r="O5" s="8"/>
    </row>
    <row r="6" spans="1:18" ht="30.75" thickBot="1" x14ac:dyDescent="0.3">
      <c r="A6" s="107"/>
      <c r="B6" s="108"/>
      <c r="C6" s="108"/>
      <c r="D6" s="108"/>
      <c r="E6" s="108"/>
      <c r="F6" s="108"/>
      <c r="G6" s="108"/>
      <c r="H6" s="108"/>
      <c r="I6" s="108"/>
      <c r="J6" s="13"/>
      <c r="K6" s="14"/>
      <c r="L6" s="68"/>
      <c r="M6" s="15" t="s">
        <v>1</v>
      </c>
      <c r="N6" s="16" t="s">
        <v>2</v>
      </c>
      <c r="O6" s="17" t="s">
        <v>23</v>
      </c>
    </row>
    <row r="7" spans="1:18" ht="15" customHeight="1" thickBot="1" x14ac:dyDescent="0.3">
      <c r="A7" s="11"/>
      <c r="B7" s="65"/>
      <c r="C7" s="65"/>
      <c r="D7" s="65"/>
      <c r="E7" s="65"/>
      <c r="F7" s="65"/>
      <c r="G7" s="65"/>
      <c r="H7" s="65"/>
      <c r="I7" s="65"/>
      <c r="J7" s="65"/>
      <c r="K7" s="79"/>
      <c r="L7" s="80"/>
      <c r="M7" s="49"/>
      <c r="N7" s="44"/>
      <c r="O7" s="50"/>
      <c r="P7" s="62"/>
      <c r="Q7" s="62"/>
      <c r="R7" s="62"/>
    </row>
    <row r="8" spans="1:18" x14ac:dyDescent="0.25">
      <c r="A8" s="45" t="str">
        <f>"Routes (" &amp; SUM(N9:N13)*100 &amp; "%)"</f>
        <v>Routes (5%)</v>
      </c>
      <c r="B8" s="12"/>
      <c r="C8" s="12"/>
      <c r="D8" s="12"/>
      <c r="E8" s="12"/>
      <c r="F8" s="12"/>
      <c r="G8" s="12"/>
      <c r="H8" s="12"/>
      <c r="I8" s="12"/>
      <c r="J8" s="12"/>
      <c r="K8" s="8"/>
      <c r="L8" s="83"/>
      <c r="M8" s="46"/>
      <c r="N8" s="47"/>
      <c r="O8" s="48"/>
      <c r="P8" s="59"/>
      <c r="Q8" s="59"/>
      <c r="R8" s="60"/>
    </row>
    <row r="9" spans="1:18" ht="15" customHeight="1" x14ac:dyDescent="0.25">
      <c r="A9" s="18"/>
      <c r="B9" s="90" t="s">
        <v>51</v>
      </c>
      <c r="C9" s="90"/>
      <c r="D9" s="90"/>
      <c r="E9" s="90"/>
      <c r="F9" s="90"/>
      <c r="G9" s="90"/>
      <c r="H9" s="90"/>
      <c r="I9" s="90"/>
      <c r="J9" s="90"/>
      <c r="K9" s="8"/>
      <c r="L9" s="81">
        <v>1</v>
      </c>
      <c r="M9" s="49">
        <f>L9</f>
        <v>1</v>
      </c>
      <c r="N9" s="44">
        <v>0.01</v>
      </c>
      <c r="O9" s="50">
        <f t="shared" ref="O9:O11" si="0">N9*M9</f>
        <v>0.01</v>
      </c>
      <c r="P9" s="63"/>
      <c r="Q9" s="62"/>
      <c r="R9" s="62"/>
    </row>
    <row r="10" spans="1:18" ht="15" customHeight="1" x14ac:dyDescent="0.25">
      <c r="A10" s="18"/>
      <c r="B10" s="90" t="s">
        <v>52</v>
      </c>
      <c r="C10" s="90"/>
      <c r="D10" s="90"/>
      <c r="E10" s="90"/>
      <c r="F10" s="90"/>
      <c r="G10" s="90"/>
      <c r="H10" s="90"/>
      <c r="I10" s="90"/>
      <c r="J10" s="90"/>
      <c r="K10" s="8"/>
      <c r="L10" s="81">
        <v>1</v>
      </c>
      <c r="M10" s="49">
        <f t="shared" ref="M10:M12" si="1">L10</f>
        <v>1</v>
      </c>
      <c r="N10" s="44">
        <v>0.01</v>
      </c>
      <c r="O10" s="50">
        <f t="shared" si="0"/>
        <v>0.01</v>
      </c>
      <c r="P10" s="63"/>
      <c r="Q10" s="62"/>
      <c r="R10" s="62"/>
    </row>
    <row r="11" spans="1:18" ht="15" customHeight="1" x14ac:dyDescent="0.25">
      <c r="A11" s="18"/>
      <c r="B11" s="90" t="s">
        <v>53</v>
      </c>
      <c r="C11" s="90"/>
      <c r="D11" s="90"/>
      <c r="E11" s="90"/>
      <c r="F11" s="90"/>
      <c r="G11" s="90"/>
      <c r="H11" s="90"/>
      <c r="I11" s="90"/>
      <c r="J11" s="90"/>
      <c r="K11" s="8"/>
      <c r="L11" s="81">
        <v>1</v>
      </c>
      <c r="M11" s="49">
        <f t="shared" si="1"/>
        <v>1</v>
      </c>
      <c r="N11" s="44">
        <v>0.02</v>
      </c>
      <c r="O11" s="50">
        <f t="shared" si="0"/>
        <v>0.02</v>
      </c>
      <c r="P11" s="61">
        <f>SUM(N9:N15)</f>
        <v>0.05</v>
      </c>
      <c r="Q11" s="70">
        <v>0.08</v>
      </c>
      <c r="R11" s="62"/>
    </row>
    <row r="12" spans="1:18" ht="15" customHeight="1" x14ac:dyDescent="0.25">
      <c r="A12" s="18"/>
      <c r="B12" s="103" t="s">
        <v>54</v>
      </c>
      <c r="C12" s="103"/>
      <c r="D12" s="103"/>
      <c r="E12" s="103"/>
      <c r="F12" s="103"/>
      <c r="G12" s="103"/>
      <c r="H12" s="103"/>
      <c r="I12" s="103"/>
      <c r="J12" s="103"/>
      <c r="K12" s="8"/>
      <c r="L12" s="81">
        <v>1</v>
      </c>
      <c r="M12" s="49">
        <f t="shared" si="1"/>
        <v>1</v>
      </c>
      <c r="N12" s="44">
        <v>0.01</v>
      </c>
      <c r="O12" s="50">
        <f>N12*M12</f>
        <v>0.01</v>
      </c>
      <c r="P12" s="63"/>
      <c r="Q12" s="64"/>
      <c r="R12" s="62"/>
    </row>
    <row r="13" spans="1:18" ht="15" customHeight="1" x14ac:dyDescent="0.25">
      <c r="A13" s="18"/>
      <c r="B13" s="90"/>
      <c r="C13" s="90"/>
      <c r="D13" s="90"/>
      <c r="E13" s="90"/>
      <c r="F13" s="90"/>
      <c r="G13" s="90"/>
      <c r="H13" s="90"/>
      <c r="I13" s="90"/>
      <c r="J13" s="90"/>
      <c r="K13" s="8"/>
      <c r="L13" s="81"/>
      <c r="M13" s="49"/>
      <c r="N13" s="44"/>
      <c r="O13" s="50"/>
      <c r="P13" s="63"/>
      <c r="Q13" s="64"/>
      <c r="R13" s="62"/>
    </row>
    <row r="14" spans="1:18" ht="15" customHeight="1" x14ac:dyDescent="0.25">
      <c r="A14" s="18"/>
      <c r="B14" s="72" t="s">
        <v>45</v>
      </c>
      <c r="C14" s="53"/>
      <c r="D14" s="53"/>
      <c r="E14" s="53"/>
      <c r="F14" s="53"/>
      <c r="G14" s="53"/>
      <c r="H14" s="53"/>
      <c r="I14" s="53"/>
      <c r="J14" s="53"/>
      <c r="K14" s="8"/>
      <c r="L14" s="21"/>
      <c r="M14" s="49"/>
      <c r="N14" s="44"/>
      <c r="O14" s="50"/>
      <c r="P14" s="62"/>
      <c r="Q14" s="62"/>
      <c r="R14" s="62"/>
    </row>
    <row r="15" spans="1:18" ht="30.75" customHeight="1" x14ac:dyDescent="0.25">
      <c r="A15" s="18"/>
      <c r="B15" s="93"/>
      <c r="C15" s="93"/>
      <c r="D15" s="93"/>
      <c r="E15" s="93"/>
      <c r="F15" s="93"/>
      <c r="G15" s="93"/>
      <c r="H15" s="93"/>
      <c r="I15" s="93"/>
      <c r="J15" s="93"/>
      <c r="K15" s="8"/>
      <c r="L15" s="82"/>
      <c r="M15" s="49"/>
      <c r="N15" s="44"/>
      <c r="O15" s="50"/>
      <c r="P15" s="62"/>
      <c r="Q15" s="62"/>
      <c r="R15" s="62"/>
    </row>
    <row r="16" spans="1:18" ht="15" customHeight="1" thickBot="1" x14ac:dyDescent="0.3">
      <c r="A16" s="11"/>
      <c r="B16" s="65"/>
      <c r="C16" s="65"/>
      <c r="D16" s="65"/>
      <c r="E16" s="65"/>
      <c r="F16" s="65"/>
      <c r="G16" s="65"/>
      <c r="H16" s="65"/>
      <c r="I16" s="65"/>
      <c r="J16" s="65"/>
      <c r="K16" s="79"/>
      <c r="L16" s="21"/>
      <c r="M16" s="49"/>
      <c r="N16" s="44"/>
      <c r="O16" s="50"/>
      <c r="P16" s="64"/>
      <c r="Q16" s="64"/>
      <c r="R16" s="62"/>
    </row>
    <row r="17" spans="1:18" x14ac:dyDescent="0.25">
      <c r="A17" s="45" t="str">
        <f>"Controllers (" &amp; SUM(N18:N21)*100 &amp; "%)"</f>
        <v>Controllers (9%)</v>
      </c>
      <c r="B17" s="12"/>
      <c r="C17" s="12"/>
      <c r="D17" s="12"/>
      <c r="E17" s="12"/>
      <c r="F17" s="12"/>
      <c r="G17" s="12"/>
      <c r="H17" s="12"/>
      <c r="I17" s="12"/>
      <c r="J17" s="12"/>
      <c r="K17" s="8"/>
      <c r="L17" s="83"/>
      <c r="M17" s="46"/>
      <c r="N17" s="47"/>
      <c r="O17" s="48"/>
      <c r="P17" s="59"/>
      <c r="Q17" s="59"/>
      <c r="R17" s="60"/>
    </row>
    <row r="18" spans="1:18" ht="15" customHeight="1" x14ac:dyDescent="0.25">
      <c r="A18" s="18"/>
      <c r="B18" s="90" t="s">
        <v>56</v>
      </c>
      <c r="C18" s="90"/>
      <c r="D18" s="90"/>
      <c r="E18" s="90"/>
      <c r="F18" s="90"/>
      <c r="G18" s="90"/>
      <c r="H18" s="90"/>
      <c r="I18" s="90"/>
      <c r="J18" s="90"/>
      <c r="K18" s="8"/>
      <c r="L18" s="81">
        <v>1</v>
      </c>
      <c r="M18" s="49">
        <f t="shared" ref="M18:M20" si="2">L18</f>
        <v>1</v>
      </c>
      <c r="N18" s="44">
        <v>0.03</v>
      </c>
      <c r="O18" s="50">
        <f>N18*M18</f>
        <v>0.03</v>
      </c>
      <c r="P18" s="63"/>
      <c r="Q18" s="64"/>
      <c r="R18" s="62"/>
    </row>
    <row r="19" spans="1:18" ht="15" customHeight="1" x14ac:dyDescent="0.25">
      <c r="A19" s="18"/>
      <c r="B19" s="90" t="s">
        <v>59</v>
      </c>
      <c r="C19" s="90"/>
      <c r="D19" s="90"/>
      <c r="E19" s="90"/>
      <c r="F19" s="90"/>
      <c r="G19" s="90"/>
      <c r="H19" s="90"/>
      <c r="I19" s="90"/>
      <c r="J19" s="90"/>
      <c r="K19" s="8"/>
      <c r="L19" s="81">
        <v>1</v>
      </c>
      <c r="M19" s="49">
        <f t="shared" si="2"/>
        <v>1</v>
      </c>
      <c r="N19" s="44">
        <v>0.03</v>
      </c>
      <c r="O19" s="50">
        <f>N19*M19</f>
        <v>0.03</v>
      </c>
      <c r="P19" s="63"/>
      <c r="Q19" s="64"/>
      <c r="R19" s="62"/>
    </row>
    <row r="20" spans="1:18" ht="15" customHeight="1" x14ac:dyDescent="0.25">
      <c r="A20" s="18"/>
      <c r="B20" s="90" t="s">
        <v>57</v>
      </c>
      <c r="C20" s="90"/>
      <c r="D20" s="90"/>
      <c r="E20" s="90"/>
      <c r="F20" s="90"/>
      <c r="G20" s="90"/>
      <c r="H20" s="90"/>
      <c r="I20" s="90"/>
      <c r="J20" s="90"/>
      <c r="K20" s="8"/>
      <c r="L20" s="81">
        <v>1</v>
      </c>
      <c r="M20" s="49">
        <f t="shared" si="2"/>
        <v>1</v>
      </c>
      <c r="N20" s="44">
        <v>0.03</v>
      </c>
      <c r="O20" s="50">
        <f>N20*M20</f>
        <v>0.03</v>
      </c>
      <c r="P20" s="63"/>
      <c r="Q20" s="64"/>
      <c r="R20" s="62"/>
    </row>
    <row r="21" spans="1:18" ht="12" customHeight="1" x14ac:dyDescent="0.25">
      <c r="A21" s="18"/>
      <c r="B21" s="53"/>
      <c r="C21" s="53"/>
      <c r="D21" s="53"/>
      <c r="E21" s="53"/>
      <c r="F21" s="53"/>
      <c r="G21" s="53"/>
      <c r="H21" s="53"/>
      <c r="I21" s="53"/>
      <c r="J21" s="53"/>
      <c r="K21" s="8"/>
      <c r="L21" s="21"/>
      <c r="M21" s="49"/>
      <c r="N21" s="44"/>
      <c r="O21" s="50"/>
      <c r="P21" s="63"/>
      <c r="Q21" s="64"/>
      <c r="R21" s="62"/>
    </row>
    <row r="22" spans="1:18" ht="15" customHeight="1" x14ac:dyDescent="0.25">
      <c r="A22" s="18"/>
      <c r="B22" s="72" t="s">
        <v>45</v>
      </c>
      <c r="C22" s="53"/>
      <c r="D22" s="53"/>
      <c r="E22" s="53"/>
      <c r="F22" s="53"/>
      <c r="G22" s="53"/>
      <c r="H22" s="53"/>
      <c r="I22" s="53"/>
      <c r="J22" s="53"/>
      <c r="K22" s="8"/>
      <c r="L22" s="21"/>
      <c r="M22" s="49"/>
      <c r="N22" s="44"/>
      <c r="O22" s="50"/>
      <c r="P22" s="62"/>
      <c r="Q22" s="62"/>
      <c r="R22" s="62"/>
    </row>
    <row r="23" spans="1:18" ht="30.75" customHeight="1" x14ac:dyDescent="0.25">
      <c r="A23" s="18"/>
      <c r="B23" s="93"/>
      <c r="C23" s="93"/>
      <c r="D23" s="93"/>
      <c r="E23" s="93"/>
      <c r="F23" s="93"/>
      <c r="G23" s="93"/>
      <c r="H23" s="93"/>
      <c r="I23" s="93"/>
      <c r="J23" s="93"/>
      <c r="K23" s="8"/>
      <c r="L23" s="82"/>
      <c r="M23" s="49"/>
      <c r="N23" s="44"/>
      <c r="O23" s="50"/>
      <c r="P23" s="62"/>
      <c r="Q23" s="62"/>
      <c r="R23" s="62"/>
    </row>
    <row r="24" spans="1:18" ht="17.25" customHeight="1" thickBot="1" x14ac:dyDescent="0.3">
      <c r="A24" s="18"/>
      <c r="B24" s="76"/>
      <c r="C24" s="76"/>
      <c r="D24" s="76"/>
      <c r="E24" s="76"/>
      <c r="F24" s="76"/>
      <c r="G24" s="76"/>
      <c r="H24" s="76"/>
      <c r="I24" s="76"/>
      <c r="J24" s="76"/>
      <c r="K24" s="8"/>
      <c r="L24" s="82"/>
      <c r="M24" s="49"/>
      <c r="N24" s="44"/>
      <c r="O24" s="50"/>
      <c r="P24" s="62"/>
      <c r="Q24" s="62"/>
      <c r="R24" s="62"/>
    </row>
    <row r="25" spans="1:18" x14ac:dyDescent="0.25">
      <c r="A25" s="77" t="str">
        <f>"Requests (" &amp; SUM(N26:N28)*100 &amp; "%)"</f>
        <v>Requests (5%)</v>
      </c>
      <c r="B25" s="78"/>
      <c r="C25" s="78"/>
      <c r="D25" s="78"/>
      <c r="E25" s="78"/>
      <c r="F25" s="78"/>
      <c r="G25" s="78"/>
      <c r="H25" s="78"/>
      <c r="I25" s="78"/>
      <c r="J25" s="78"/>
      <c r="K25" s="25"/>
      <c r="L25" s="83"/>
      <c r="M25" s="46"/>
      <c r="N25" s="47"/>
      <c r="O25" s="48"/>
      <c r="P25" s="59"/>
      <c r="Q25" s="59"/>
      <c r="R25" s="60"/>
    </row>
    <row r="26" spans="1:18" ht="15" customHeight="1" x14ac:dyDescent="0.25">
      <c r="A26" s="18"/>
      <c r="B26" s="90" t="s">
        <v>55</v>
      </c>
      <c r="C26" s="90"/>
      <c r="D26" s="90"/>
      <c r="E26" s="90"/>
      <c r="F26" s="90"/>
      <c r="G26" s="90"/>
      <c r="H26" s="90"/>
      <c r="I26" s="90"/>
      <c r="J26" s="90"/>
      <c r="K26" s="8"/>
      <c r="L26" s="81">
        <v>1</v>
      </c>
      <c r="M26" s="49">
        <f t="shared" ref="M26:M27" si="3">L26</f>
        <v>1</v>
      </c>
      <c r="N26" s="44">
        <v>0.03</v>
      </c>
      <c r="O26" s="50">
        <f>N26*M26</f>
        <v>0.03</v>
      </c>
      <c r="P26" s="63"/>
      <c r="Q26" s="64"/>
      <c r="R26" s="62"/>
    </row>
    <row r="27" spans="1:18" ht="15" customHeight="1" x14ac:dyDescent="0.25">
      <c r="A27" s="18"/>
      <c r="B27" s="90" t="s">
        <v>58</v>
      </c>
      <c r="C27" s="90"/>
      <c r="D27" s="90"/>
      <c r="E27" s="90"/>
      <c r="F27" s="90"/>
      <c r="G27" s="90"/>
      <c r="H27" s="90"/>
      <c r="I27" s="90"/>
      <c r="J27" s="90"/>
      <c r="K27" s="8"/>
      <c r="L27" s="81">
        <v>1</v>
      </c>
      <c r="M27" s="49">
        <f t="shared" si="3"/>
        <v>1</v>
      </c>
      <c r="N27" s="44">
        <v>0.02</v>
      </c>
      <c r="O27" s="50">
        <f>N27*M27</f>
        <v>0.02</v>
      </c>
      <c r="P27" s="63"/>
      <c r="Q27" s="64"/>
      <c r="R27" s="62"/>
    </row>
    <row r="28" spans="1:18" ht="9" customHeight="1" x14ac:dyDescent="0.25">
      <c r="A28" s="18"/>
      <c r="B28" s="53"/>
      <c r="C28" s="53"/>
      <c r="D28" s="53"/>
      <c r="E28" s="53"/>
      <c r="F28" s="53"/>
      <c r="G28" s="53"/>
      <c r="H28" s="53"/>
      <c r="I28" s="53"/>
      <c r="J28" s="53"/>
      <c r="K28" s="8"/>
      <c r="L28" s="21"/>
      <c r="M28" s="49"/>
      <c r="N28" s="44"/>
      <c r="O28" s="50"/>
      <c r="P28" s="63"/>
      <c r="Q28" s="64"/>
      <c r="R28" s="62"/>
    </row>
    <row r="29" spans="1:18" ht="15" customHeight="1" x14ac:dyDescent="0.25">
      <c r="A29" s="18"/>
      <c r="B29" s="72" t="s">
        <v>45</v>
      </c>
      <c r="C29" s="53"/>
      <c r="D29" s="53"/>
      <c r="E29" s="53"/>
      <c r="F29" s="53"/>
      <c r="G29" s="53"/>
      <c r="H29" s="53"/>
      <c r="I29" s="53"/>
      <c r="J29" s="53"/>
      <c r="K29" s="8"/>
      <c r="L29" s="21"/>
      <c r="M29" s="49"/>
      <c r="N29" s="44"/>
      <c r="O29" s="50"/>
      <c r="P29" s="62"/>
      <c r="Q29" s="62"/>
      <c r="R29" s="62"/>
    </row>
    <row r="30" spans="1:18" ht="30.75" customHeight="1" x14ac:dyDescent="0.25">
      <c r="A30" s="18"/>
      <c r="B30" s="93"/>
      <c r="C30" s="93"/>
      <c r="D30" s="93"/>
      <c r="E30" s="93"/>
      <c r="F30" s="93"/>
      <c r="G30" s="93"/>
      <c r="H30" s="93"/>
      <c r="I30" s="93"/>
      <c r="J30" s="93"/>
      <c r="K30" s="8"/>
      <c r="L30" s="82"/>
      <c r="M30" s="49"/>
      <c r="N30" s="44"/>
      <c r="O30" s="50"/>
      <c r="P30" s="62"/>
      <c r="Q30" s="62"/>
      <c r="R30" s="62"/>
    </row>
    <row r="31" spans="1:18" ht="17.25" customHeight="1" thickBot="1" x14ac:dyDescent="0.3">
      <c r="A31" s="18"/>
      <c r="B31" s="76"/>
      <c r="C31" s="76"/>
      <c r="D31" s="76"/>
      <c r="E31" s="76"/>
      <c r="F31" s="76"/>
      <c r="G31" s="76"/>
      <c r="H31" s="76"/>
      <c r="I31" s="76"/>
      <c r="J31" s="76"/>
      <c r="K31" s="8"/>
      <c r="L31" s="82"/>
      <c r="M31" s="49"/>
      <c r="N31" s="44"/>
      <c r="O31" s="50"/>
      <c r="P31" s="62"/>
      <c r="Q31" s="62"/>
      <c r="R31" s="62"/>
    </row>
    <row r="32" spans="1:18" x14ac:dyDescent="0.25">
      <c r="A32" s="77" t="str">
        <f>"Général (" &amp; SUM(N33:N35)*100 &amp; "%)"</f>
        <v>Général (11%)</v>
      </c>
      <c r="B32" s="78"/>
      <c r="C32" s="78"/>
      <c r="D32" s="78"/>
      <c r="E32" s="78"/>
      <c r="F32" s="78"/>
      <c r="G32" s="78"/>
      <c r="H32" s="78"/>
      <c r="I32" s="78"/>
      <c r="J32" s="78"/>
      <c r="K32" s="25"/>
      <c r="L32" s="83"/>
      <c r="M32" s="46"/>
      <c r="N32" s="47"/>
      <c r="O32" s="48"/>
      <c r="P32" s="59"/>
      <c r="Q32" s="59"/>
      <c r="R32" s="60"/>
    </row>
    <row r="33" spans="1:18" ht="15" customHeight="1" x14ac:dyDescent="0.25">
      <c r="A33" s="18"/>
      <c r="B33" s="90" t="s">
        <v>60</v>
      </c>
      <c r="C33" s="90"/>
      <c r="D33" s="90"/>
      <c r="E33" s="90"/>
      <c r="F33" s="90"/>
      <c r="G33" s="90"/>
      <c r="H33" s="90"/>
      <c r="I33" s="90"/>
      <c r="J33" s="90"/>
      <c r="K33" s="8"/>
      <c r="L33" s="81">
        <v>1</v>
      </c>
      <c r="M33" s="49">
        <f>L33</f>
        <v>1</v>
      </c>
      <c r="N33" s="44">
        <v>0.06</v>
      </c>
      <c r="O33" s="50">
        <f>N33*M33</f>
        <v>0.06</v>
      </c>
      <c r="P33" s="63"/>
      <c r="Q33" s="64"/>
      <c r="R33" s="62"/>
    </row>
    <row r="34" spans="1:18" ht="15" customHeight="1" x14ac:dyDescent="0.25">
      <c r="A34" s="18"/>
      <c r="B34" s="90" t="s">
        <v>61</v>
      </c>
      <c r="C34" s="90"/>
      <c r="D34" s="90"/>
      <c r="E34" s="90"/>
      <c r="F34" s="90"/>
      <c r="G34" s="90"/>
      <c r="H34" s="90"/>
      <c r="I34" s="90"/>
      <c r="J34" s="90"/>
      <c r="K34" s="8"/>
      <c r="L34" s="81">
        <v>1</v>
      </c>
      <c r="M34" s="49">
        <f>L34</f>
        <v>1</v>
      </c>
      <c r="N34" s="44">
        <v>0.05</v>
      </c>
      <c r="O34" s="50">
        <f>N34*M34</f>
        <v>0.05</v>
      </c>
      <c r="P34" s="63"/>
      <c r="Q34" s="64"/>
      <c r="R34" s="62"/>
    </row>
    <row r="35" spans="1:18" ht="12" customHeight="1" x14ac:dyDescent="0.25">
      <c r="A35" s="18"/>
      <c r="B35" s="53"/>
      <c r="C35" s="53"/>
      <c r="D35" s="53"/>
      <c r="E35" s="53"/>
      <c r="F35" s="53"/>
      <c r="G35" s="53"/>
      <c r="H35" s="53"/>
      <c r="I35" s="53"/>
      <c r="J35" s="53"/>
      <c r="K35" s="8"/>
      <c r="L35" s="21"/>
      <c r="M35" s="49"/>
      <c r="N35" s="44"/>
      <c r="O35" s="50"/>
      <c r="P35" s="63"/>
      <c r="Q35" s="64"/>
      <c r="R35" s="62"/>
    </row>
    <row r="36" spans="1:18" ht="15" customHeight="1" x14ac:dyDescent="0.25">
      <c r="A36" s="18"/>
      <c r="B36" s="72" t="s">
        <v>45</v>
      </c>
      <c r="C36" s="53"/>
      <c r="D36" s="53"/>
      <c r="E36" s="53"/>
      <c r="F36" s="53"/>
      <c r="G36" s="53"/>
      <c r="H36" s="53"/>
      <c r="I36" s="53"/>
      <c r="J36" s="53"/>
      <c r="K36" s="8"/>
      <c r="L36" s="21"/>
      <c r="M36" s="49"/>
      <c r="N36" s="44"/>
      <c r="O36" s="50"/>
      <c r="P36" s="62"/>
      <c r="Q36" s="62"/>
      <c r="R36" s="62"/>
    </row>
    <row r="37" spans="1:18" ht="30.75" customHeight="1" x14ac:dyDescent="0.25">
      <c r="A37" s="18"/>
      <c r="B37" s="93"/>
      <c r="C37" s="93"/>
      <c r="D37" s="93"/>
      <c r="E37" s="93"/>
      <c r="F37" s="93"/>
      <c r="G37" s="93"/>
      <c r="H37" s="93"/>
      <c r="I37" s="93"/>
      <c r="J37" s="93"/>
      <c r="K37" s="8"/>
      <c r="L37" s="82"/>
      <c r="M37" s="49"/>
      <c r="N37" s="44"/>
      <c r="O37" s="50"/>
      <c r="P37" s="62"/>
      <c r="Q37" s="62"/>
      <c r="R37" s="62"/>
    </row>
    <row r="38" spans="1:18" ht="15.75" thickBot="1" x14ac:dyDescent="0.3">
      <c r="A38" s="11"/>
      <c r="B38" s="65"/>
      <c r="C38" s="65"/>
      <c r="D38" s="65"/>
      <c r="E38" s="65"/>
      <c r="F38" s="65"/>
      <c r="G38" s="65"/>
      <c r="H38" s="65"/>
      <c r="I38" s="65"/>
      <c r="J38" s="65"/>
      <c r="K38" s="79"/>
      <c r="L38" s="88"/>
      <c r="M38" s="49"/>
      <c r="N38" s="44"/>
      <c r="O38" s="50"/>
      <c r="P38" s="63"/>
      <c r="Q38" s="64"/>
      <c r="R38" s="62"/>
    </row>
    <row r="39" spans="1:18" x14ac:dyDescent="0.25">
      <c r="A39" s="45" t="s">
        <v>4</v>
      </c>
      <c r="B39" s="51"/>
      <c r="C39" s="52"/>
      <c r="D39" s="52"/>
      <c r="E39" s="52"/>
      <c r="F39" s="52"/>
      <c r="G39" s="52"/>
      <c r="H39" s="52"/>
      <c r="I39" s="52"/>
      <c r="J39" s="52"/>
      <c r="K39" s="8"/>
      <c r="L39" s="83"/>
      <c r="M39" s="46"/>
      <c r="N39" s="47"/>
      <c r="O39" s="48"/>
    </row>
    <row r="40" spans="1:18" ht="47.25" customHeight="1" x14ac:dyDescent="0.25">
      <c r="A40" s="18"/>
      <c r="B40" s="111"/>
      <c r="C40" s="111"/>
      <c r="D40" s="111"/>
      <c r="E40" s="111"/>
      <c r="F40" s="111"/>
      <c r="G40" s="111"/>
      <c r="H40" s="111"/>
      <c r="I40" s="111"/>
      <c r="J40" s="111"/>
      <c r="K40" s="8"/>
      <c r="L40" s="21"/>
      <c r="M40" s="9"/>
      <c r="N40" s="10"/>
      <c r="O40" s="20"/>
    </row>
    <row r="41" spans="1:18" ht="15.75" thickBot="1" x14ac:dyDescent="0.3">
      <c r="A41" s="54"/>
      <c r="B41" s="55"/>
      <c r="C41" s="55"/>
      <c r="D41" s="55"/>
      <c r="E41" s="55"/>
      <c r="F41" s="55"/>
      <c r="G41" s="55"/>
      <c r="H41" s="55"/>
      <c r="I41" s="55"/>
      <c r="J41" s="55"/>
      <c r="K41" s="56"/>
      <c r="L41" s="84"/>
      <c r="M41" s="57"/>
      <c r="N41" s="71" t="s">
        <v>44</v>
      </c>
      <c r="O41" s="58">
        <f>SUM(O7:O38)</f>
        <v>0.3</v>
      </c>
    </row>
    <row r="42" spans="1:18" x14ac:dyDescent="0.25">
      <c r="A42" s="67"/>
      <c r="B42" s="6"/>
      <c r="C42" s="6"/>
      <c r="D42" s="6"/>
      <c r="E42" s="6"/>
      <c r="F42" s="6"/>
      <c r="G42" s="6"/>
      <c r="H42" s="6"/>
      <c r="I42" s="6"/>
      <c r="J42" s="6"/>
      <c r="K42" s="8"/>
      <c r="L42" s="21"/>
      <c r="M42" s="25"/>
      <c r="N42" s="25"/>
      <c r="O42" s="66"/>
    </row>
    <row r="43" spans="1:18" ht="15.75" thickBot="1" x14ac:dyDescent="0.3">
      <c r="B43" s="12"/>
      <c r="C43" s="12"/>
      <c r="D43" s="12"/>
      <c r="E43" s="12"/>
      <c r="F43" s="12"/>
      <c r="G43" s="12"/>
      <c r="H43" s="12"/>
      <c r="I43" s="12"/>
      <c r="J43" s="12"/>
      <c r="K43" s="8"/>
      <c r="L43" s="21"/>
      <c r="M43" s="8"/>
      <c r="N43" s="8"/>
      <c r="O43" s="8"/>
    </row>
    <row r="44" spans="1:18" ht="30.75" thickBot="1" x14ac:dyDescent="0.3">
      <c r="A44" s="107" t="str">
        <f>"Pénalités"</f>
        <v>Pénalités</v>
      </c>
      <c r="B44" s="108"/>
      <c r="C44" s="108"/>
      <c r="D44" s="108"/>
      <c r="E44" s="108"/>
      <c r="F44" s="108"/>
      <c r="G44" s="108"/>
      <c r="H44" s="108"/>
      <c r="I44" s="108"/>
      <c r="J44" s="13"/>
      <c r="K44" s="68"/>
      <c r="L44" s="85"/>
      <c r="M44" s="15" t="s">
        <v>1</v>
      </c>
      <c r="N44" s="16" t="s">
        <v>2</v>
      </c>
      <c r="O44" s="17" t="s">
        <v>3</v>
      </c>
    </row>
    <row r="45" spans="1:18" x14ac:dyDescent="0.25">
      <c r="A45" s="18"/>
      <c r="B45" s="110"/>
      <c r="C45" s="110"/>
      <c r="D45" s="110"/>
      <c r="E45" s="110"/>
      <c r="F45" s="110"/>
      <c r="G45" s="110"/>
      <c r="H45" s="110"/>
      <c r="I45" s="110"/>
      <c r="J45" s="110"/>
      <c r="K45" s="31"/>
      <c r="L45" s="86"/>
      <c r="M45" s="49"/>
      <c r="N45" s="43"/>
      <c r="O45" s="50"/>
    </row>
    <row r="46" spans="1:18" x14ac:dyDescent="0.25">
      <c r="A46" s="18"/>
      <c r="B46" s="110" t="s">
        <v>19</v>
      </c>
      <c r="C46" s="110"/>
      <c r="D46" s="110"/>
      <c r="E46" s="110"/>
      <c r="F46" s="110"/>
      <c r="G46" s="110"/>
      <c r="H46" s="110"/>
      <c r="I46" s="110"/>
      <c r="J46" s="110"/>
      <c r="K46" s="31" t="s">
        <v>12</v>
      </c>
      <c r="L46" s="86"/>
      <c r="M46" s="49">
        <f t="shared" ref="M46:M47" si="4">IF(K46="Non",0,100%)</f>
        <v>0</v>
      </c>
      <c r="N46" s="43">
        <v>-0.02</v>
      </c>
      <c r="O46" s="50">
        <f t="shared" ref="O46:O47" si="5">N46*M46</f>
        <v>0</v>
      </c>
    </row>
    <row r="47" spans="1:18" x14ac:dyDescent="0.25">
      <c r="A47" s="18"/>
      <c r="B47" s="110" t="s">
        <v>42</v>
      </c>
      <c r="C47" s="110"/>
      <c r="D47" s="110"/>
      <c r="E47" s="110"/>
      <c r="F47" s="110"/>
      <c r="G47" s="110"/>
      <c r="H47" s="110"/>
      <c r="I47" s="110"/>
      <c r="J47" s="110"/>
      <c r="K47" s="31" t="s">
        <v>12</v>
      </c>
      <c r="L47" s="86"/>
      <c r="M47" s="49">
        <f t="shared" si="4"/>
        <v>0</v>
      </c>
      <c r="N47" s="43">
        <v>-0.05</v>
      </c>
      <c r="O47" s="50">
        <f t="shared" si="5"/>
        <v>0</v>
      </c>
    </row>
    <row r="48" spans="1:18" x14ac:dyDescent="0.25">
      <c r="A48" s="18"/>
      <c r="B48" s="19" t="s">
        <v>4</v>
      </c>
      <c r="C48" s="12"/>
      <c r="D48" s="12"/>
      <c r="E48" s="12"/>
      <c r="F48" s="12"/>
      <c r="G48" s="12"/>
      <c r="H48" s="12"/>
      <c r="I48" s="12"/>
      <c r="J48" s="12"/>
      <c r="K48" s="8"/>
      <c r="L48" s="21"/>
      <c r="M48" s="9"/>
      <c r="N48" s="10"/>
      <c r="O48" s="20"/>
    </row>
    <row r="49" spans="1:15" ht="46.5" customHeight="1" thickBot="1" x14ac:dyDescent="0.3">
      <c r="A49" s="5"/>
      <c r="B49" s="109"/>
      <c r="C49" s="109"/>
      <c r="D49" s="109"/>
      <c r="E49" s="109"/>
      <c r="F49" s="109"/>
      <c r="G49" s="109"/>
      <c r="H49" s="109"/>
      <c r="I49" s="109"/>
      <c r="J49" s="109"/>
      <c r="K49" s="8"/>
      <c r="L49" s="87"/>
      <c r="M49" s="21"/>
      <c r="N49" s="8"/>
      <c r="O49" s="22"/>
    </row>
    <row r="50" spans="1:15" x14ac:dyDescent="0.25">
      <c r="A50" s="23"/>
      <c r="B50" s="24"/>
      <c r="C50" s="24"/>
      <c r="D50" s="24"/>
      <c r="E50" s="24"/>
      <c r="F50" s="24"/>
      <c r="G50" s="24"/>
      <c r="H50" s="24"/>
      <c r="I50" s="105" t="s">
        <v>5</v>
      </c>
      <c r="J50" s="105"/>
      <c r="K50" s="25"/>
      <c r="L50" s="73"/>
      <c r="M50" s="23" t="s">
        <v>47</v>
      </c>
      <c r="N50" s="26">
        <v>0</v>
      </c>
      <c r="O50" s="27">
        <f>-15%*N50*O41</f>
        <v>0</v>
      </c>
    </row>
    <row r="51" spans="1:15" x14ac:dyDescent="0.25">
      <c r="A51" s="28"/>
      <c r="B51" s="29"/>
      <c r="C51" s="29"/>
      <c r="D51" s="29"/>
      <c r="E51" s="29"/>
      <c r="F51" s="29"/>
      <c r="G51" s="29"/>
      <c r="H51" s="29"/>
      <c r="I51" s="106" t="s">
        <v>6</v>
      </c>
      <c r="J51" s="106"/>
      <c r="K51" s="8"/>
      <c r="L51" s="74"/>
      <c r="M51" s="28" t="s">
        <v>7</v>
      </c>
      <c r="N51" s="31">
        <v>0</v>
      </c>
      <c r="O51" s="32">
        <f>MIN(40,N51)*-0.5%</f>
        <v>0</v>
      </c>
    </row>
    <row r="52" spans="1:15" ht="15.75" thickBot="1" x14ac:dyDescent="0.3">
      <c r="A52" s="33"/>
      <c r="B52" s="34"/>
      <c r="C52" s="34"/>
      <c r="D52" s="34"/>
      <c r="E52" s="34"/>
      <c r="F52" s="34"/>
      <c r="G52" s="34"/>
      <c r="H52" s="34"/>
      <c r="I52" s="104" t="s">
        <v>8</v>
      </c>
      <c r="J52" s="104"/>
      <c r="K52" s="35"/>
      <c r="L52" s="75"/>
      <c r="M52" s="36"/>
      <c r="N52" s="37"/>
      <c r="O52" s="38">
        <f>SUM(O41,O45:O47,O50:O51)</f>
        <v>0.3</v>
      </c>
    </row>
    <row r="56" spans="1:15" x14ac:dyDescent="0.25">
      <c r="A56" s="40"/>
      <c r="G56" s="41"/>
    </row>
    <row r="57" spans="1:15" x14ac:dyDescent="0.25">
      <c r="A57" s="40"/>
      <c r="G57" s="41"/>
    </row>
    <row r="58" spans="1:15" x14ac:dyDescent="0.25">
      <c r="A58" s="40"/>
      <c r="C58" s="42"/>
      <c r="G58" s="41"/>
    </row>
    <row r="59" spans="1:15" x14ac:dyDescent="0.25">
      <c r="A59" s="40"/>
      <c r="G59" s="41"/>
    </row>
    <row r="60" spans="1:15" x14ac:dyDescent="0.25">
      <c r="A60" s="40"/>
      <c r="G60" s="41"/>
    </row>
    <row r="61" spans="1:15" x14ac:dyDescent="0.25">
      <c r="A61" s="40"/>
    </row>
    <row r="62" spans="1:15" x14ac:dyDescent="0.25">
      <c r="A62" s="40"/>
      <c r="G62" s="41"/>
    </row>
    <row r="63" spans="1:15" x14ac:dyDescent="0.25">
      <c r="A63" s="40"/>
      <c r="G63" s="41"/>
    </row>
    <row r="64" spans="1:15" x14ac:dyDescent="0.25">
      <c r="A64" s="40"/>
      <c r="G64" s="41"/>
    </row>
    <row r="65" spans="1:7" x14ac:dyDescent="0.25">
      <c r="A65" s="40"/>
    </row>
    <row r="66" spans="1:7" x14ac:dyDescent="0.25">
      <c r="A66" s="40"/>
      <c r="G66" s="41"/>
    </row>
    <row r="67" spans="1:7" x14ac:dyDescent="0.25">
      <c r="A67" s="40"/>
      <c r="G67" s="41"/>
    </row>
    <row r="68" spans="1:7" x14ac:dyDescent="0.25">
      <c r="A68" s="40"/>
    </row>
    <row r="69" spans="1:7" x14ac:dyDescent="0.25">
      <c r="A69" s="40"/>
      <c r="G69" s="41"/>
    </row>
    <row r="70" spans="1:7" x14ac:dyDescent="0.25">
      <c r="A70" s="40"/>
      <c r="G70" s="41"/>
    </row>
    <row r="71" spans="1:7" x14ac:dyDescent="0.25">
      <c r="A71" s="40"/>
      <c r="G71" s="41"/>
    </row>
    <row r="72" spans="1:7" x14ac:dyDescent="0.25">
      <c r="A72" s="40"/>
    </row>
    <row r="73" spans="1:7" x14ac:dyDescent="0.25">
      <c r="A73" s="40"/>
      <c r="G73" s="41"/>
    </row>
    <row r="74" spans="1:7" x14ac:dyDescent="0.25">
      <c r="A74" s="40"/>
      <c r="G74" s="41"/>
    </row>
    <row r="75" spans="1:7" x14ac:dyDescent="0.25">
      <c r="C75" s="42"/>
    </row>
    <row r="76" spans="1:7" x14ac:dyDescent="0.25">
      <c r="C76" s="42"/>
    </row>
    <row r="77" spans="1:7" x14ac:dyDescent="0.25">
      <c r="C77" s="43"/>
    </row>
    <row r="78" spans="1:7" x14ac:dyDescent="0.25">
      <c r="C78" s="43"/>
    </row>
    <row r="79" spans="1:7" x14ac:dyDescent="0.25">
      <c r="C79" s="43"/>
    </row>
    <row r="80" spans="1:7" x14ac:dyDescent="0.25">
      <c r="C80" s="43"/>
    </row>
    <row r="81" spans="3:3" x14ac:dyDescent="0.25">
      <c r="C81" s="43"/>
    </row>
    <row r="82" spans="3:3" x14ac:dyDescent="0.25">
      <c r="C82" s="43"/>
    </row>
    <row r="83" spans="3:3" x14ac:dyDescent="0.25">
      <c r="C83" s="43"/>
    </row>
    <row r="84" spans="3:3" x14ac:dyDescent="0.25">
      <c r="C84" s="43"/>
    </row>
  </sheetData>
  <mergeCells count="30">
    <mergeCell ref="I52:J52"/>
    <mergeCell ref="I50:J50"/>
    <mergeCell ref="I51:J51"/>
    <mergeCell ref="A6:I6"/>
    <mergeCell ref="B49:J49"/>
    <mergeCell ref="B45:J45"/>
    <mergeCell ref="B46:J46"/>
    <mergeCell ref="B11:J11"/>
    <mergeCell ref="B13:J13"/>
    <mergeCell ref="B19:J19"/>
    <mergeCell ref="B23:J23"/>
    <mergeCell ref="B15:J15"/>
    <mergeCell ref="B34:J34"/>
    <mergeCell ref="A44:I44"/>
    <mergeCell ref="B47:J47"/>
    <mergeCell ref="B40:J40"/>
    <mergeCell ref="A1:O1"/>
    <mergeCell ref="A2:O2"/>
    <mergeCell ref="A3:O3"/>
    <mergeCell ref="A4:O4"/>
    <mergeCell ref="B18:J18"/>
    <mergeCell ref="B9:J9"/>
    <mergeCell ref="B10:J10"/>
    <mergeCell ref="B12:J12"/>
    <mergeCell ref="B37:J37"/>
    <mergeCell ref="B20:J20"/>
    <mergeCell ref="B26:J26"/>
    <mergeCell ref="B27:J27"/>
    <mergeCell ref="B30:J30"/>
    <mergeCell ref="B33:J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5" scale="45" orientation="portrait" r:id="rId1"/>
  <headerFooter>
    <oddFooter>&amp;A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681088-A906-4C6B-B11A-6A6246D15A57}">
          <x14:formula1>
            <xm:f>Barême!$A$14:$A$15</xm:f>
          </x14:formula1>
          <xm:sqref>K45:L45</xm:sqref>
        </x14:dataValidation>
        <x14:dataValidation type="list" allowBlank="1" showInputMessage="1" showErrorMessage="1" xr:uid="{58094F9F-5591-4436-A768-3713DF1E99CF}">
          <x14:formula1>
            <xm:f>Barême!A$14:A$15</xm:f>
          </x14:formula1>
          <xm:sqref>K46:L47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Barême</vt:lpstr>
      <vt:lpstr>Sommaire</vt:lpstr>
      <vt:lpstr>Modèle</vt:lpstr>
      <vt:lpstr>Modèle!Print_Area</vt:lpstr>
      <vt:lpstr>Barême!total</vt:lpstr>
      <vt:lpstr>total</vt:lpstr>
      <vt:lpstr>Modèle!Zone_d_impression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Poulin</dc:creator>
  <cp:lastModifiedBy>Karine Filiatreault</cp:lastModifiedBy>
  <cp:lastPrinted>2024-03-06T12:55:05Z</cp:lastPrinted>
  <dcterms:created xsi:type="dcterms:W3CDTF">2018-05-29T15:56:09Z</dcterms:created>
  <dcterms:modified xsi:type="dcterms:W3CDTF">2024-05-06T14:45:07Z</dcterms:modified>
</cp:coreProperties>
</file>